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263138\Documents\"/>
    </mc:Choice>
  </mc:AlternateContent>
  <xr:revisionPtr revIDLastSave="0" documentId="8_{3AB1A4BE-68A2-4088-987D-4B155B70B6A3}" xr6:coauthVersionLast="47" xr6:coauthVersionMax="47" xr10:uidLastSave="{00000000-0000-0000-0000-000000000000}"/>
  <bookViews>
    <workbookView xWindow="-120" yWindow="-120" windowWidth="29040" windowHeight="15720" xr2:uid="{2F0DBE31-16F5-496B-9239-0804066A9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  <c r="A12" i="1"/>
  <c r="C11" i="1"/>
  <c r="C10" i="1"/>
  <c r="B10" i="1"/>
  <c r="C7" i="1"/>
  <c r="C8" i="1" s="1"/>
  <c r="B7" i="1"/>
  <c r="B8" i="1" l="1"/>
  <c r="B11" i="1" s="1"/>
</calcChain>
</file>

<file path=xl/sharedStrings.xml><?xml version="1.0" encoding="utf-8"?>
<sst xmlns="http://schemas.openxmlformats.org/spreadsheetml/2006/main" count="14" uniqueCount="14">
  <si>
    <t>Column1</t>
  </si>
  <si>
    <t>laptop</t>
  </si>
  <si>
    <t>monitor</t>
  </si>
  <si>
    <t>Keyboard</t>
  </si>
  <si>
    <t>mouse</t>
  </si>
  <si>
    <t>printer</t>
  </si>
  <si>
    <t>product</t>
  </si>
  <si>
    <t>Quantity</t>
  </si>
  <si>
    <t>unit price</t>
  </si>
  <si>
    <t>sum</t>
  </si>
  <si>
    <t>average</t>
  </si>
  <si>
    <t>Revenue=quantitysolid*unit price</t>
  </si>
  <si>
    <t>highest number</t>
  </si>
  <si>
    <t>lowest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</si>
</sst>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553149606299209E-2"/>
          <c:y val="0.1902314814814815"/>
          <c:w val="0.89655796150481193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product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9-4875-8E61-763B8B107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837279"/>
        <c:axId val="579842271"/>
      </c:lineChart>
      <c:catAx>
        <c:axId val="579837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42271"/>
        <c:crosses val="autoZero"/>
        <c:auto val="1"/>
        <c:lblAlgn val="ctr"/>
        <c:lblOffset val="100"/>
        <c:noMultiLvlLbl val="0"/>
      </c:catAx>
      <c:valAx>
        <c:axId val="579842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3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32-4602-A614-454F485546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32-4602-A614-454F485546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32-4602-A614-454F485546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32-4602-A614-454F485546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32-4602-A614-454F485546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F32-4602-A614-454F4855466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F32-4602-A614-454F4855466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F32-4602-A614-454F4855466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F32-4602-A614-454F4855466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F32-4602-A614-454F48554667}"/>
              </c:ext>
            </c:extLst>
          </c:dPt>
          <c:cat>
            <c:strRef>
              <c:f>Sheet1!$A$2:$A$11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Keyboard</c:v>
                </c:pt>
                <c:pt idx="3">
                  <c:v>mouse</c:v>
                </c:pt>
                <c:pt idx="4">
                  <c:v>printer</c:v>
                </c:pt>
                <c:pt idx="5">
                  <c:v>sum</c:v>
                </c:pt>
                <c:pt idx="6">
                  <c:v>average</c:v>
                </c:pt>
                <c:pt idx="7">
                  <c:v>Revenue=quantitysolid*unit price</c:v>
                </c:pt>
                <c:pt idx="8">
                  <c:v>highest number</c:v>
                </c:pt>
                <c:pt idx="9">
                  <c:v>lowest number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125</c:v>
                </c:pt>
                <c:pt idx="1">
                  <c:v>210</c:v>
                </c:pt>
                <c:pt idx="2">
                  <c:v>350</c:v>
                </c:pt>
                <c:pt idx="3">
                  <c:v>480</c:v>
                </c:pt>
                <c:pt idx="4">
                  <c:v>85</c:v>
                </c:pt>
                <c:pt idx="5">
                  <c:v>1250</c:v>
                </c:pt>
                <c:pt idx="6">
                  <c:v>416.66666666666669</c:v>
                </c:pt>
                <c:pt idx="7">
                  <c:v>1531250</c:v>
                </c:pt>
                <c:pt idx="8">
                  <c:v>480</c:v>
                </c:pt>
                <c:pt idx="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F-46E1-B30C-F57FF9FE8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11832895888016"/>
          <c:y val="0.11615740740740743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unit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95-4A93-8910-F09E9A68F0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95-4A93-8910-F09E9A68F0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95-4A93-8910-F09E9A68F0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95-4A93-8910-F09E9A68F0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95-4A93-8910-F09E9A68F0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B95-4A93-8910-F09E9A68F01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B95-4A93-8910-F09E9A68F01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B95-4A93-8910-F09E9A68F01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B95-4A93-8910-F09E9A68F01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B95-4A93-8910-F09E9A68F01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B95-4A93-8910-F09E9A68F01E}"/>
              </c:ext>
            </c:extLst>
          </c:dPt>
          <c:val>
            <c:numRef>
              <c:f>Sheet1!$C$2:$C$12</c:f>
              <c:numCache>
                <c:formatCode>General</c:formatCode>
                <c:ptCount val="11"/>
                <c:pt idx="0">
                  <c:v>850</c:v>
                </c:pt>
                <c:pt idx="1">
                  <c:v>180</c:v>
                </c:pt>
                <c:pt idx="2">
                  <c:v>50</c:v>
                </c:pt>
                <c:pt idx="3">
                  <c:v>25</c:v>
                </c:pt>
                <c:pt idx="4">
                  <c:v>120</c:v>
                </c:pt>
                <c:pt idx="5">
                  <c:v>1225</c:v>
                </c:pt>
                <c:pt idx="6">
                  <c:v>408.33333333333331</c:v>
                </c:pt>
                <c:pt idx="8">
                  <c:v>850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8-4CE6-B950-624205BF0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15</xdr:row>
      <xdr:rowOff>95250</xdr:rowOff>
    </xdr:from>
    <xdr:to>
      <xdr:col>10</xdr:col>
      <xdr:colOff>600075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ADDF6C-F425-4CBB-A5EE-A4527C3F1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523875</xdr:colOff>
      <xdr:row>2</xdr:row>
      <xdr:rowOff>71437</xdr:rowOff>
    </xdr:from>
    <xdr:to>
      <xdr:col>13</xdr:col>
      <xdr:colOff>219075</xdr:colOff>
      <xdr:row>16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ECEE86-3CA6-4027-A10D-9D6314100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438150</xdr:colOff>
      <xdr:row>2</xdr:row>
      <xdr:rowOff>147637</xdr:rowOff>
    </xdr:from>
    <xdr:to>
      <xdr:col>21</xdr:col>
      <xdr:colOff>133350</xdr:colOff>
      <xdr:row>17</xdr:row>
      <xdr:rowOff>33337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5125B4-849C-493A-A598-C12D74B8A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31FD3E-D177-467F-9CE8-57E706CB9AEB}" name="Table2" displayName="Table2" ref="B1:B7" totalsRowCount="1">
  <autoFilter ref="B1:B6" xr:uid="{7831FD3E-D177-467F-9CE8-57E706CB9AEB}"/>
  <tableColumns count="1">
    <tableColumn id="1" xr3:uid="{F4749F69-23FA-4A04-811F-C6D9CCFA7E2A}" name="Quantity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90B2FB-1526-42F7-9D62-C7EAFF3E3ED5}" name="Table3" displayName="Table3" ref="C1:C7" totalsRowCount="1">
  <autoFilter ref="C1:C6" xr:uid="{1190B2FB-1526-42F7-9D62-C7EAFF3E3ED5}"/>
  <tableColumns count="1">
    <tableColumn id="1" xr3:uid="{A6BCC144-994A-443E-8918-B4AB89CD3494}" name="unit price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3463C-8033-4F06-8241-903FE28B5601}" name="Table1" displayName="Table1" ref="A1:A7" totalsRowCount="1">
  <autoFilter ref="A1:A6" xr:uid="{D883463C-8033-4F06-8241-903FE28B5601}"/>
  <tableColumns count="1">
    <tableColumn id="1" xr3:uid="{2B80323E-C6C6-4F09-87AF-F44B031F693E}" name="product" totalsRowLabel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1A9833-9731-4EF9-8824-68256D090D5A}" name="Table5" displayName="Table5" ref="D1:D6" totalsRowShown="0">
  <autoFilter ref="D1:D6" xr:uid="{391A9833-9731-4EF9-8824-68256D090D5A}"/>
  <tableColumns count="1">
    <tableColumn id="1" xr3:uid="{4A84A581-92F1-4AED-B705-D8046C8456B6}" name="Column1">
      <calculatedColumnFormula>IF(C2&gt;150,"yes","no")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2F59-BCB4-418E-8E78-CF89ABF608D2}">
  <dimension ref="A1:D12"/>
  <sheetViews>
    <sheetView tabSelected="1" workbookViewId="0">
      <selection activeCell="A14" sqref="A14"/>
    </sheetView>
  </sheetViews>
  <sheetFormatPr defaultRowHeight="15" x14ac:dyDescent="0.25"/>
  <cols>
    <col min="1" max="1" width="33.140625" customWidth="1"/>
    <col min="2" max="3" width="11" customWidth="1"/>
    <col min="4" max="4" width="11.7109375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0</v>
      </c>
    </row>
    <row r="2" spans="1:4" x14ac:dyDescent="0.25">
      <c r="A2" t="s">
        <v>1</v>
      </c>
      <c r="B2">
        <v>125</v>
      </c>
      <c r="C2">
        <v>850</v>
      </c>
      <c r="D2" t="str">
        <f>IF(C2&gt;150,"yes","no")</f>
        <v>yes</v>
      </c>
    </row>
    <row r="3" spans="1:4" x14ac:dyDescent="0.25">
      <c r="A3" t="s">
        <v>2</v>
      </c>
      <c r="B3">
        <v>210</v>
      </c>
      <c r="C3">
        <v>180</v>
      </c>
      <c r="D3" t="str">
        <f t="shared" ref="D3:D6" si="0">IF(C3&gt;150,"yes","no")</f>
        <v>yes</v>
      </c>
    </row>
    <row r="4" spans="1:4" x14ac:dyDescent="0.25">
      <c r="A4" t="s">
        <v>3</v>
      </c>
      <c r="B4">
        <v>350</v>
      </c>
      <c r="C4">
        <v>50</v>
      </c>
      <c r="D4" t="str">
        <f t="shared" si="0"/>
        <v>no</v>
      </c>
    </row>
    <row r="5" spans="1:4" x14ac:dyDescent="0.25">
      <c r="A5" t="s">
        <v>4</v>
      </c>
      <c r="B5">
        <v>480</v>
      </c>
      <c r="C5">
        <v>25</v>
      </c>
      <c r="D5" t="str">
        <f t="shared" si="0"/>
        <v>no</v>
      </c>
    </row>
    <row r="6" spans="1:4" x14ac:dyDescent="0.25">
      <c r="A6" t="s">
        <v>5</v>
      </c>
      <c r="B6">
        <v>85</v>
      </c>
      <c r="C6">
        <v>120</v>
      </c>
      <c r="D6" t="str">
        <f t="shared" si="0"/>
        <v>no</v>
      </c>
    </row>
    <row r="7" spans="1:4" x14ac:dyDescent="0.25">
      <c r="A7" t="s">
        <v>9</v>
      </c>
      <c r="B7">
        <f>SUBTOTAL(109,Table2[Quantity])</f>
        <v>1250</v>
      </c>
      <c r="C7">
        <f>SUBTOTAL(109,Table3[unit price])</f>
        <v>1225</v>
      </c>
    </row>
    <row r="8" spans="1:4" x14ac:dyDescent="0.25">
      <c r="A8" t="s">
        <v>10</v>
      </c>
      <c r="B8">
        <f>AVERAGE(Table2[[#Data],[#Totals],[Quantity]])</f>
        <v>416.66666666666669</v>
      </c>
      <c r="C8">
        <f>AVERAGE(Table3[[#Data],[#Totals],[unit price]])</f>
        <v>408.33333333333331</v>
      </c>
    </row>
    <row r="9" spans="1:4" x14ac:dyDescent="0.25">
      <c r="A9" t="s">
        <v>11</v>
      </c>
      <c r="B9">
        <v>1531250</v>
      </c>
    </row>
    <row r="10" spans="1:4" x14ac:dyDescent="0.25">
      <c r="A10" t="s">
        <v>12</v>
      </c>
      <c r="B10">
        <f>MAX(480)</f>
        <v>480</v>
      </c>
      <c r="C10">
        <f>MAX(850)</f>
        <v>850</v>
      </c>
    </row>
    <row r="11" spans="1:4" x14ac:dyDescent="0.25">
      <c r="A11" t="s">
        <v>13</v>
      </c>
      <c r="B11">
        <f>MIN(B2:B10)</f>
        <v>85</v>
      </c>
      <c r="C11">
        <f>MIN(25)</f>
        <v>25</v>
      </c>
    </row>
    <row r="12" spans="1:4" x14ac:dyDescent="0.25">
      <c r="A12">
        <f>COUNT(2,3,4,5,6)</f>
        <v>5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L263138</dc:creator>
  <cp:lastModifiedBy>L263138</cp:lastModifiedBy>
  <dcterms:created xsi:type="dcterms:W3CDTF">2026-09-28T06:46:13Z</dcterms:created>
  <dcterms:modified xsi:type="dcterms:W3CDTF">2026-09-28T07:46:33Z</dcterms:modified>
</cp:coreProperties>
</file>